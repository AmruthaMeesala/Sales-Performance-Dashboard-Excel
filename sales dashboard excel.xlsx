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nagam\OneDrive\Desktop\ALL PROJECTS\EXCEL P1\"/>
    </mc:Choice>
  </mc:AlternateContent>
  <xr:revisionPtr revIDLastSave="0" documentId="8_{D71944D3-17AD-4E5D-B212-6BC74C5E9103}" xr6:coauthVersionLast="47" xr6:coauthVersionMax="47" xr10:uidLastSave="{00000000-0000-0000-0000-000000000000}"/>
  <bookViews>
    <workbookView xWindow="-110" yWindow="-110" windowWidth="19420" windowHeight="10300" activeTab="2" xr2:uid="{086B6308-C41D-4926-BD36-A68B212FD330}"/>
  </bookViews>
  <sheets>
    <sheet name="PROJECT 1" sheetId="4" r:id="rId1"/>
    <sheet name="RAW DATA" sheetId="2" r:id="rId2"/>
    <sheet name="Project 1 sales dashboard (2)" sheetId="5" r:id="rId3"/>
  </sheets>
  <definedNames>
    <definedName name="_xlnm.Print_Area" localSheetId="2">'Project 1 sales dashboard (2)'!$AJ$1</definedName>
    <definedName name="Slicer_Category11">#N/A</definedName>
    <definedName name="Slicer_Region31">#N/A</definedName>
  </definedNames>
  <calcPr calcId="191029"/>
  <pivotCaches>
    <pivotCache cacheId="10" r:id="rId4"/>
    <pivotCache cacheId="3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2" i="5" l="1"/>
  <c r="P72" i="5"/>
  <c r="N72" i="5"/>
  <c r="M16" i="2"/>
  <c r="N12" i="2"/>
  <c r="M7" i="2"/>
</calcChain>
</file>

<file path=xl/sharedStrings.xml><?xml version="1.0" encoding="utf-8"?>
<sst xmlns="http://schemas.openxmlformats.org/spreadsheetml/2006/main" count="98" uniqueCount="42">
  <si>
    <t>Date</t>
  </si>
  <si>
    <t>Product</t>
  </si>
  <si>
    <t>Category</t>
  </si>
  <si>
    <t>Region</t>
  </si>
  <si>
    <t>Sales</t>
  </si>
  <si>
    <t>Laptop</t>
  </si>
  <si>
    <t>Electronics</t>
  </si>
  <si>
    <t>West</t>
  </si>
  <si>
    <t>North</t>
  </si>
  <si>
    <t>Row Labels</t>
  </si>
  <si>
    <t>Sum of Sales</t>
  </si>
  <si>
    <t>Tv</t>
  </si>
  <si>
    <t>South</t>
  </si>
  <si>
    <t>Phone</t>
  </si>
  <si>
    <t>Grand Total</t>
  </si>
  <si>
    <t>Watch</t>
  </si>
  <si>
    <t>Accessories</t>
  </si>
  <si>
    <t>Shoes</t>
  </si>
  <si>
    <t>Clothing</t>
  </si>
  <si>
    <t>Shirt</t>
  </si>
  <si>
    <t>Count of Sales</t>
  </si>
  <si>
    <t>Cap</t>
  </si>
  <si>
    <t>Average of Sales</t>
  </si>
  <si>
    <t>14-01-2024,Cap,Accessories,West,1000</t>
  </si>
  <si>
    <t>13-01-2024,Watch,Accessories,North,7000</t>
  </si>
  <si>
    <t>12-01-2024,Shirt,Clothing,South,2000</t>
  </si>
  <si>
    <t>11-01-2024,Shoes,Clothing,West,3500</t>
  </si>
  <si>
    <t>10-01-2024,TV,Electronics,South,45000</t>
  </si>
  <si>
    <t>09-01-2024,Phone,Electronics,North,25000</t>
  </si>
  <si>
    <t>08-01-2024,Laptop,Electronics,West,60000</t>
  </si>
  <si>
    <t>07-01-2024,Cap,Accessories,South,800</t>
  </si>
  <si>
    <t>06-01-2024,Watch,Accessories,West,5000</t>
  </si>
  <si>
    <t>05-01-2024,Shirt,Clothing,North,1500</t>
  </si>
  <si>
    <t>04-01-2024,Shoes,Clothing,South,3000</t>
  </si>
  <si>
    <t>03-01-2024,TV,Electronics,West,40000</t>
  </si>
  <si>
    <t>02-01-2024,Phone,Electronics,South,20000</t>
  </si>
  <si>
    <t>01-01-2024,Laptop,Electronics,North,50000</t>
  </si>
  <si>
    <t>Date,Product,Category,Region,Sales</t>
  </si>
  <si>
    <t>Column4</t>
  </si>
  <si>
    <t>Column3</t>
  </si>
  <si>
    <t>Column2</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</si>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</sst>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5" formatCode="&quot;₹&quot;\ #,##0;&quot;₹&quot;\ \-#,##0"/>
  </numFmts>
  <fonts count="7" x14ac:knownFonts="1">
    <font>
      <sz val="11"/>
      <color theme="1"/>
      <name val="Calibri"/>
      <family val="2"/>
      <scheme val="minor"/>
    </font>
    <font>
      <b/>
      <sz val="11"/>
      <color theme="1"/>
      <name val="Calibri"/>
      <family val="2"/>
      <scheme val="minor"/>
    </font>
    <font>
      <sz val="36"/>
      <color theme="7" tint="-0.249977111117893"/>
      <name val="Calibri"/>
      <family val="2"/>
      <scheme val="minor"/>
    </font>
    <font>
      <sz val="36"/>
      <color theme="1"/>
      <name val="Calibri"/>
      <family val="2"/>
      <scheme val="minor"/>
    </font>
    <font>
      <sz val="26"/>
      <color theme="1"/>
      <name val="Calibri"/>
      <family val="2"/>
      <scheme val="minor"/>
    </font>
    <font>
      <b/>
      <sz val="11"/>
      <color theme="7" tint="-0.249977111117893"/>
      <name val="Calibri"/>
      <family val="2"/>
      <scheme val="minor"/>
    </font>
    <font>
      <sz val="11"/>
      <color theme="7" tint="-0.249977111117893"/>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7" tint="0.79998168889431442"/>
        <bgColor theme="7" tint="0.79998168889431442"/>
      </patternFill>
    </fill>
  </fills>
  <borders count="2">
    <border>
      <left/>
      <right/>
      <top/>
      <bottom/>
      <diagonal/>
    </border>
    <border>
      <left/>
      <right/>
      <top style="thin">
        <color theme="7"/>
      </top>
      <bottom/>
      <diagonal/>
    </border>
  </borders>
  <cellStyleXfs count="1">
    <xf numFmtId="0" fontId="0" fillId="0" borderId="0"/>
  </cellStyleXfs>
  <cellXfs count="22">
    <xf numFmtId="0" fontId="0" fillId="0" borderId="0" xfId="0"/>
    <xf numFmtId="0" fontId="0" fillId="2" borderId="0" xfId="0" applyFill="1"/>
    <xf numFmtId="0" fontId="0" fillId="2" borderId="0" xfId="0" applyFill="1" applyAlignment="1">
      <alignment horizontal="center"/>
    </xf>
    <xf numFmtId="0" fontId="2" fillId="2" borderId="0" xfId="0" applyFont="1" applyFill="1" applyAlignment="1">
      <alignment horizontal="center"/>
    </xf>
    <xf numFmtId="0" fontId="3" fillId="2" borderId="0" xfId="0" applyFont="1" applyFill="1" applyAlignment="1">
      <alignment horizontal="center"/>
    </xf>
    <xf numFmtId="14" fontId="0" fillId="2" borderId="0" xfId="0" applyNumberFormat="1" applyFill="1"/>
    <xf numFmtId="0" fontId="1" fillId="2" borderId="0" xfId="0" applyFont="1" applyFill="1"/>
    <xf numFmtId="0" fontId="4" fillId="2" borderId="0" xfId="0" applyFont="1" applyFill="1" applyAlignment="1">
      <alignment horizontal="center"/>
    </xf>
    <xf numFmtId="0" fontId="5" fillId="0" borderId="0" xfId="0" applyFont="1"/>
    <xf numFmtId="14" fontId="6" fillId="3" borderId="1" xfId="0" applyNumberFormat="1" applyFont="1" applyFill="1" applyBorder="1"/>
    <xf numFmtId="0" fontId="6" fillId="3" borderId="1" xfId="0" applyFont="1" applyFill="1" applyBorder="1"/>
    <xf numFmtId="14" fontId="6" fillId="0" borderId="0" xfId="0" applyNumberFormat="1" applyFont="1"/>
    <xf numFmtId="0" fontId="6" fillId="0" borderId="0" xfId="0" applyFont="1"/>
    <xf numFmtId="14" fontId="6" fillId="3" borderId="0" xfId="0" applyNumberFormat="1" applyFont="1" applyFill="1"/>
    <xf numFmtId="0" fontId="6" fillId="3" borderId="0" xfId="0" applyFont="1" applyFill="1"/>
    <xf numFmtId="0" fontId="0" fillId="0" borderId="0" xfId="0" applyAlignment="1">
      <alignment horizontal="left"/>
    </xf>
    <xf numFmtId="14" fontId="0" fillId="0" borderId="0" xfId="0" applyNumberFormat="1" applyAlignment="1">
      <alignment horizontal="left"/>
    </xf>
    <xf numFmtId="0" fontId="0" fillId="0" borderId="0" xfId="0" pivotButton="1"/>
    <xf numFmtId="0" fontId="0" fillId="0" borderId="0" xfId="0" applyNumberFormat="1"/>
    <xf numFmtId="14" fontId="0" fillId="0" borderId="0" xfId="0" applyNumberFormat="1"/>
    <xf numFmtId="9" fontId="0" fillId="0" borderId="0" xfId="0" applyNumberFormat="1"/>
    <xf numFmtId="5" fontId="0" fillId="2" borderId="0" xfId="0" applyNumberFormat="1" applyFill="1"/>
  </cellXfs>
  <cellStyles count="1">
    <cellStyle name="Normal" xfId="0" builtinId="0"/>
  </cellStyles>
  <dxfs count="8">
    <dxf>
      <font>
        <b val="0"/>
        <i val="0"/>
        <strike val="0"/>
        <condense val="0"/>
        <extend val="0"/>
        <outline val="0"/>
        <shadow val="0"/>
        <u val="none"/>
        <vertAlign val="baseline"/>
        <sz val="11"/>
        <color theme="7" tint="-0.249977111117893"/>
        <name val="Calibri"/>
        <family val="2"/>
        <scheme val="minor"/>
      </font>
    </dxf>
    <dxf>
      <font>
        <b val="0"/>
        <i val="0"/>
        <strike val="0"/>
        <condense val="0"/>
        <extend val="0"/>
        <outline val="0"/>
        <shadow val="0"/>
        <u val="none"/>
        <vertAlign val="baseline"/>
        <sz val="11"/>
        <color theme="7" tint="-0.249977111117893"/>
        <name val="Calibri"/>
        <family val="2"/>
        <scheme val="minor"/>
      </font>
      <numFmt numFmtId="0" formatCode="General"/>
    </dxf>
    <dxf>
      <font>
        <b val="0"/>
        <i val="0"/>
        <strike val="0"/>
        <condense val="0"/>
        <extend val="0"/>
        <outline val="0"/>
        <shadow val="0"/>
        <u val="none"/>
        <vertAlign val="baseline"/>
        <sz val="11"/>
        <color theme="7" tint="-0.249977111117893"/>
        <name val="Calibri"/>
        <family val="2"/>
        <scheme val="minor"/>
      </font>
      <numFmt numFmtId="0" formatCode="General"/>
    </dxf>
    <dxf>
      <font>
        <b val="0"/>
        <i val="0"/>
        <strike val="0"/>
        <condense val="0"/>
        <extend val="0"/>
        <outline val="0"/>
        <shadow val="0"/>
        <u val="none"/>
        <vertAlign val="baseline"/>
        <sz val="11"/>
        <color theme="7" tint="-0.249977111117893"/>
        <name val="Calibri"/>
        <family val="2"/>
        <scheme val="minor"/>
      </font>
      <numFmt numFmtId="0" formatCode="General"/>
    </dxf>
    <dxf>
      <font>
        <b val="0"/>
        <i val="0"/>
        <strike val="0"/>
        <condense val="0"/>
        <extend val="0"/>
        <outline val="0"/>
        <shadow val="0"/>
        <u val="none"/>
        <vertAlign val="baseline"/>
        <sz val="11"/>
        <color theme="7" tint="-0.249977111117893"/>
        <name val="Calibri"/>
        <family val="2"/>
        <scheme val="minor"/>
      </font>
      <numFmt numFmtId="19" formatCode="dd/mm/yyyy"/>
    </dxf>
    <dxf>
      <border outline="0">
        <top style="thin">
          <color theme="7"/>
        </top>
        <bottom style="thin">
          <color theme="7"/>
        </bottom>
      </border>
    </dxf>
    <dxf>
      <font>
        <b val="0"/>
        <i val="0"/>
        <strike val="0"/>
        <condense val="0"/>
        <extend val="0"/>
        <outline val="0"/>
        <shadow val="0"/>
        <u val="none"/>
        <vertAlign val="baseline"/>
        <sz val="11"/>
        <color theme="7" tint="-0.249977111117893"/>
        <name val="Calibri"/>
        <family val="2"/>
        <scheme val="minor"/>
      </font>
    </dxf>
    <dxf>
      <font>
        <b/>
        <i val="0"/>
        <strike val="0"/>
        <condense val="0"/>
        <extend val="0"/>
        <outline val="0"/>
        <shadow val="0"/>
        <u val="none"/>
        <vertAlign val="baseline"/>
        <sz val="11"/>
        <color theme="7" tint="-0.249977111117893"/>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excel.xlsx]RAW DATA!PivotTable18</c:name>
    <c:fmtId val="14"/>
  </c:pivotSource>
  <c:chart>
    <c:title>
      <c:tx>
        <c:rich>
          <a:bodyPr rot="0" spcFirstLastPara="1" vertOverflow="ellipsis" vert="horz" wrap="square" anchor="ctr" anchorCtr="1"/>
          <a:lstStyle/>
          <a:p>
            <a:pPr>
              <a:defRPr sz="3200" b="1" i="0" u="none" strike="noStrike" kern="1200" baseline="0">
                <a:solidFill>
                  <a:schemeClr val="accent4">
                    <a:lumMod val="75000"/>
                  </a:schemeClr>
                </a:solidFill>
                <a:latin typeface="+mn-lt"/>
                <a:ea typeface="+mn-ea"/>
                <a:cs typeface="+mn-cs"/>
              </a:defRPr>
            </a:pPr>
            <a:r>
              <a:rPr lang="en-US" sz="3200">
                <a:solidFill>
                  <a:schemeClr val="accent4">
                    <a:lumMod val="75000"/>
                  </a:schemeClr>
                </a:solidFill>
              </a:rPr>
              <a:t>sales by product</a:t>
            </a:r>
          </a:p>
          <a:p>
            <a:pPr>
              <a:defRPr sz="3200">
                <a:solidFill>
                  <a:schemeClr val="accent4">
                    <a:lumMod val="75000"/>
                  </a:schemeClr>
                </a:solidFill>
              </a:defRPr>
            </a:pPr>
            <a:endParaRPr lang="en-US" sz="3200">
              <a:solidFill>
                <a:schemeClr val="accent4">
                  <a:lumMod val="75000"/>
                </a:schemeClr>
              </a:solidFill>
            </a:endParaRPr>
          </a:p>
        </c:rich>
      </c:tx>
      <c:layout>
        <c:manualLayout>
          <c:xMode val="edge"/>
          <c:yMode val="edge"/>
          <c:x val="0.39576894182221489"/>
          <c:y val="7.0719784562245702E-2"/>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69298760278892E-2"/>
          <c:y val="0.32067106245865606"/>
          <c:w val="0.95971223630170732"/>
          <c:h val="0.65595868809081792"/>
        </c:manualLayout>
      </c:layout>
      <c:barChart>
        <c:barDir val="col"/>
        <c:grouping val="clustered"/>
        <c:varyColors val="0"/>
        <c:ser>
          <c:idx val="0"/>
          <c:order val="0"/>
          <c:tx>
            <c:strRef>
              <c:f>'RAW DATA'!$K$4</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solidFill>
              </a:ln>
              <a:effectLst/>
            </c:spPr>
            <c:trendlineType val="linear"/>
            <c:dispRSqr val="0"/>
            <c:dispEq val="0"/>
          </c:trendline>
          <c:cat>
            <c:strRef>
              <c:f>'RAW DATA'!$J$5:$J$12</c:f>
              <c:strCache>
                <c:ptCount val="7"/>
                <c:pt idx="0">
                  <c:v>Laptop</c:v>
                </c:pt>
                <c:pt idx="1">
                  <c:v>Tv</c:v>
                </c:pt>
                <c:pt idx="2">
                  <c:v>Phone</c:v>
                </c:pt>
                <c:pt idx="3">
                  <c:v>Watch</c:v>
                </c:pt>
                <c:pt idx="4">
                  <c:v>Shoes</c:v>
                </c:pt>
                <c:pt idx="5">
                  <c:v>Shirt</c:v>
                </c:pt>
                <c:pt idx="6">
                  <c:v>Cap</c:v>
                </c:pt>
              </c:strCache>
            </c:strRef>
          </c:cat>
          <c:val>
            <c:numRef>
              <c:f>'RAW DATA'!$K$5:$K$12</c:f>
              <c:numCache>
                <c:formatCode>General</c:formatCode>
                <c:ptCount val="7"/>
                <c:pt idx="0">
                  <c:v>110000</c:v>
                </c:pt>
                <c:pt idx="1">
                  <c:v>85000</c:v>
                </c:pt>
                <c:pt idx="2">
                  <c:v>45000</c:v>
                </c:pt>
                <c:pt idx="3">
                  <c:v>12000</c:v>
                </c:pt>
                <c:pt idx="4">
                  <c:v>6500</c:v>
                </c:pt>
                <c:pt idx="5">
                  <c:v>3500</c:v>
                </c:pt>
                <c:pt idx="6">
                  <c:v>1800</c:v>
                </c:pt>
              </c:numCache>
            </c:numRef>
          </c:val>
          <c:extLst>
            <c:ext xmlns:c16="http://schemas.microsoft.com/office/drawing/2014/chart" uri="{C3380CC4-5D6E-409C-BE32-E72D297353CC}">
              <c16:uniqueId val="{00000000-4EDF-4BE8-A0C7-2DA292F96F7B}"/>
            </c:ext>
          </c:extLst>
        </c:ser>
        <c:dLbls>
          <c:dLblPos val="outEnd"/>
          <c:showLegendKey val="0"/>
          <c:showVal val="1"/>
          <c:showCatName val="0"/>
          <c:showSerName val="0"/>
          <c:showPercent val="0"/>
          <c:showBubbleSize val="0"/>
        </c:dLbls>
        <c:gapWidth val="100"/>
        <c:overlap val="-24"/>
        <c:axId val="176366399"/>
        <c:axId val="176366879"/>
      </c:barChart>
      <c:catAx>
        <c:axId val="1763663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accent4">
                    <a:lumMod val="75000"/>
                  </a:schemeClr>
                </a:solidFill>
                <a:latin typeface="+mn-lt"/>
                <a:ea typeface="+mn-ea"/>
                <a:cs typeface="+mn-cs"/>
              </a:defRPr>
            </a:pPr>
            <a:endParaRPr lang="en-US"/>
          </a:p>
        </c:txPr>
        <c:crossAx val="176366879"/>
        <c:crosses val="autoZero"/>
        <c:auto val="1"/>
        <c:lblAlgn val="ctr"/>
        <c:lblOffset val="100"/>
        <c:noMultiLvlLbl val="0"/>
      </c:catAx>
      <c:valAx>
        <c:axId val="1763668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636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excel.xlsx]RAW DATA!PivotTable11</c:name>
    <c:fmtId val="25"/>
  </c:pivotSource>
  <c:chart>
    <c:title>
      <c:tx>
        <c:rich>
          <a:bodyPr rot="0" spcFirstLastPara="1" vertOverflow="ellipsis" vert="horz" wrap="square" anchor="ctr" anchorCtr="1"/>
          <a:lstStyle/>
          <a:p>
            <a:pPr>
              <a:defRPr lang="en-US" sz="2880" b="1" i="0" u="none" strike="noStrike" kern="1200" spc="0" baseline="0">
                <a:solidFill>
                  <a:schemeClr val="accent4">
                    <a:lumMod val="75000"/>
                  </a:schemeClr>
                </a:solidFill>
                <a:latin typeface="+mn-lt"/>
                <a:ea typeface="+mn-ea"/>
                <a:cs typeface="+mn-cs"/>
              </a:defRPr>
            </a:pPr>
            <a:r>
              <a:rPr lang="en-US" b="1">
                <a:solidFill>
                  <a:schemeClr val="accent4">
                    <a:lumMod val="75000"/>
                  </a:schemeClr>
                </a:solidFill>
              </a:rPr>
              <a:t>sales by trend</a:t>
            </a:r>
          </a:p>
          <a:p>
            <a:pPr>
              <a:defRPr b="1">
                <a:solidFill>
                  <a:schemeClr val="accent4">
                    <a:lumMod val="75000"/>
                  </a:schemeClr>
                </a:solidFill>
              </a:defRPr>
            </a:pPr>
            <a:endParaRPr lang="en-US" b="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lang="en-US" sz="2880" b="1"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24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374782862287141E-2"/>
          <c:y val="0.25356887647108628"/>
          <c:w val="0.92189574853867906"/>
          <c:h val="0.48356057912115824"/>
        </c:manualLayout>
      </c:layout>
      <c:lineChart>
        <c:grouping val="standard"/>
        <c:varyColors val="0"/>
        <c:ser>
          <c:idx val="0"/>
          <c:order val="0"/>
          <c:tx>
            <c:strRef>
              <c:f>'RAW DATA'!$H$14</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24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DATA'!$G$15:$G$29</c:f>
              <c:strCache>
                <c:ptCount val="14"/>
                <c:pt idx="0">
                  <c:v>08-01-2024</c:v>
                </c:pt>
                <c:pt idx="1">
                  <c:v>01-01-2024</c:v>
                </c:pt>
                <c:pt idx="2">
                  <c:v>10-01-2024</c:v>
                </c:pt>
                <c:pt idx="3">
                  <c:v>03-01-2024</c:v>
                </c:pt>
                <c:pt idx="4">
                  <c:v>09-01-2024</c:v>
                </c:pt>
                <c:pt idx="5">
                  <c:v>02-01-2024</c:v>
                </c:pt>
                <c:pt idx="6">
                  <c:v>13-01-2024</c:v>
                </c:pt>
                <c:pt idx="7">
                  <c:v>06-01-2024</c:v>
                </c:pt>
                <c:pt idx="8">
                  <c:v>11-01-2024</c:v>
                </c:pt>
                <c:pt idx="9">
                  <c:v>04-01-2024</c:v>
                </c:pt>
                <c:pt idx="10">
                  <c:v>12-01-2024</c:v>
                </c:pt>
                <c:pt idx="11">
                  <c:v>05-01-2024</c:v>
                </c:pt>
                <c:pt idx="12">
                  <c:v>14-01-2024</c:v>
                </c:pt>
                <c:pt idx="13">
                  <c:v>07-01-2024</c:v>
                </c:pt>
              </c:strCache>
            </c:strRef>
          </c:cat>
          <c:val>
            <c:numRef>
              <c:f>'RAW DATA'!$H$15:$H$29</c:f>
              <c:numCache>
                <c:formatCode>General</c:formatCode>
                <c:ptCount val="14"/>
                <c:pt idx="0">
                  <c:v>60000</c:v>
                </c:pt>
                <c:pt idx="1">
                  <c:v>50000</c:v>
                </c:pt>
                <c:pt idx="2">
                  <c:v>45000</c:v>
                </c:pt>
                <c:pt idx="3">
                  <c:v>40000</c:v>
                </c:pt>
                <c:pt idx="4">
                  <c:v>25000</c:v>
                </c:pt>
                <c:pt idx="5">
                  <c:v>20000</c:v>
                </c:pt>
                <c:pt idx="6">
                  <c:v>7000</c:v>
                </c:pt>
                <c:pt idx="7">
                  <c:v>5000</c:v>
                </c:pt>
                <c:pt idx="8">
                  <c:v>3500</c:v>
                </c:pt>
                <c:pt idx="9">
                  <c:v>3000</c:v>
                </c:pt>
                <c:pt idx="10">
                  <c:v>2000</c:v>
                </c:pt>
                <c:pt idx="11">
                  <c:v>1500</c:v>
                </c:pt>
                <c:pt idx="12">
                  <c:v>1000</c:v>
                </c:pt>
                <c:pt idx="13">
                  <c:v>800</c:v>
                </c:pt>
              </c:numCache>
            </c:numRef>
          </c:val>
          <c:smooth val="0"/>
          <c:extLst>
            <c:ext xmlns:c16="http://schemas.microsoft.com/office/drawing/2014/chart" uri="{C3380CC4-5D6E-409C-BE32-E72D297353CC}">
              <c16:uniqueId val="{00000000-8346-44B9-BE92-C970D9A3F7E2}"/>
            </c:ext>
          </c:extLst>
        </c:ser>
        <c:dLbls>
          <c:dLblPos val="ctr"/>
          <c:showLegendKey val="0"/>
          <c:showVal val="1"/>
          <c:showCatName val="0"/>
          <c:showSerName val="0"/>
          <c:showPercent val="0"/>
          <c:showBubbleSize val="0"/>
        </c:dLbls>
        <c:marker val="1"/>
        <c:smooth val="0"/>
        <c:axId val="176341919"/>
        <c:axId val="176342399"/>
      </c:lineChart>
      <c:catAx>
        <c:axId val="17634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400" b="1" i="0" u="none" strike="noStrike" kern="1200" baseline="0">
                <a:solidFill>
                  <a:schemeClr val="accent4">
                    <a:lumMod val="75000"/>
                  </a:schemeClr>
                </a:solidFill>
                <a:latin typeface="+mn-lt"/>
                <a:ea typeface="+mn-ea"/>
                <a:cs typeface="+mn-cs"/>
              </a:defRPr>
            </a:pPr>
            <a:endParaRPr lang="en-US"/>
          </a:p>
        </c:txPr>
        <c:crossAx val="176342399"/>
        <c:crosses val="autoZero"/>
        <c:auto val="1"/>
        <c:lblAlgn val="ctr"/>
        <c:lblOffset val="100"/>
        <c:noMultiLvlLbl val="0"/>
      </c:catAx>
      <c:valAx>
        <c:axId val="17634239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634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24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excel.xlsx]RAW DATA!PivotTable17</c:name>
    <c:fmtId val="23"/>
  </c:pivotSource>
  <c:chart>
    <c:title>
      <c:tx>
        <c:rich>
          <a:bodyPr rot="0" spcFirstLastPara="1" vertOverflow="ellipsis" vert="horz" wrap="square" anchor="ctr" anchorCtr="1"/>
          <a:lstStyle/>
          <a:p>
            <a:pPr>
              <a:defRPr sz="3200" b="1" i="0" u="none" strike="noStrike" kern="1200" baseline="0">
                <a:solidFill>
                  <a:schemeClr val="accent4">
                    <a:lumMod val="75000"/>
                  </a:schemeClr>
                </a:solidFill>
                <a:latin typeface="+mn-lt"/>
                <a:ea typeface="+mn-ea"/>
                <a:cs typeface="+mn-cs"/>
              </a:defRPr>
            </a:pPr>
            <a:r>
              <a:rPr lang="en-US" sz="3200">
                <a:solidFill>
                  <a:schemeClr val="accent4">
                    <a:lumMod val="75000"/>
                  </a:schemeClr>
                </a:solidFill>
              </a:rPr>
              <a:t>sales</a:t>
            </a:r>
            <a:r>
              <a:rPr lang="en-US" sz="3200" baseline="0">
                <a:solidFill>
                  <a:schemeClr val="accent4">
                    <a:lumMod val="75000"/>
                  </a:schemeClr>
                </a:solidFill>
              </a:rPr>
              <a:t> by region</a:t>
            </a:r>
            <a:endParaRPr lang="en-US" sz="3200">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3200" b="1" i="0" u="none" strike="noStrike" kern="1200" baseline="0">
              <a:solidFill>
                <a:schemeClr val="accent4">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pivotFmt>
      <c:pivotFmt>
        <c:idx val="8"/>
        <c:spPr>
          <a:solidFill>
            <a:schemeClr val="accent4">
              <a:tint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'RAW DATA'!$H$3</c:f>
              <c:strCache>
                <c:ptCount val="1"/>
                <c:pt idx="0">
                  <c:v>Total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C54-431C-9ECD-3FFCA36B5CB9}"/>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C54-431C-9ECD-3FFCA36B5CB9}"/>
              </c:ext>
            </c:extLst>
          </c:dPt>
          <c:dPt>
            <c:idx val="2"/>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C54-431C-9ECD-3FFCA36B5CB9}"/>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'RAW DATA'!$G$4:$G$7</c:f>
              <c:strCache>
                <c:ptCount val="3"/>
                <c:pt idx="0">
                  <c:v>West</c:v>
                </c:pt>
                <c:pt idx="1">
                  <c:v>North</c:v>
                </c:pt>
                <c:pt idx="2">
                  <c:v>South</c:v>
                </c:pt>
              </c:strCache>
            </c:strRef>
          </c:cat>
          <c:val>
            <c:numRef>
              <c:f>'RAW DATA'!$H$4:$H$7</c:f>
              <c:numCache>
                <c:formatCode>General</c:formatCode>
                <c:ptCount val="3"/>
                <c:pt idx="0">
                  <c:v>109500</c:v>
                </c:pt>
                <c:pt idx="1">
                  <c:v>83500</c:v>
                </c:pt>
                <c:pt idx="2">
                  <c:v>70800</c:v>
                </c:pt>
              </c:numCache>
            </c:numRef>
          </c:val>
          <c:extLst>
            <c:ext xmlns:c16="http://schemas.microsoft.com/office/drawing/2014/chart" uri="{C3380CC4-5D6E-409C-BE32-E72D297353CC}">
              <c16:uniqueId val="{00000006-0C54-431C-9ECD-3FFCA36B5CB9}"/>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3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sz="3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15875</xdr:colOff>
      <xdr:row>0</xdr:row>
      <xdr:rowOff>127000</xdr:rowOff>
    </xdr:from>
    <xdr:to>
      <xdr:col>4</xdr:col>
      <xdr:colOff>320675</xdr:colOff>
      <xdr:row>64</xdr:row>
      <xdr:rowOff>0</xdr:rowOff>
    </xdr:to>
    <xdr:sp macro="" textlink="">
      <xdr:nvSpPr>
        <xdr:cNvPr id="2" name="Rectangle: Rounded Corners 1">
          <a:extLst>
            <a:ext uri="{FF2B5EF4-FFF2-40B4-BE49-F238E27FC236}">
              <a16:creationId xmlns:a16="http://schemas.microsoft.com/office/drawing/2014/main" id="{C7321679-487F-4C4E-B69C-EA464D6517BE}"/>
            </a:ext>
          </a:extLst>
        </xdr:cNvPr>
        <xdr:cNvSpPr/>
      </xdr:nvSpPr>
      <xdr:spPr>
        <a:xfrm>
          <a:off x="15875" y="127000"/>
          <a:ext cx="2743200" cy="116586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solidFill>
                <a:schemeClr val="tx1"/>
              </a:solidFill>
            </a:rPr>
            <a:t>SALES ANALYSIS DASHBOARD</a:t>
          </a:r>
        </a:p>
      </xdr:txBody>
    </xdr:sp>
    <xdr:clientData/>
  </xdr:twoCellAnchor>
  <xdr:twoCellAnchor>
    <xdr:from>
      <xdr:col>7</xdr:col>
      <xdr:colOff>79375</xdr:colOff>
      <xdr:row>6</xdr:row>
      <xdr:rowOff>125638</xdr:rowOff>
    </xdr:from>
    <xdr:to>
      <xdr:col>13</xdr:col>
      <xdr:colOff>82550</xdr:colOff>
      <xdr:row>17</xdr:row>
      <xdr:rowOff>127000</xdr:rowOff>
    </xdr:to>
    <xdr:sp macro="" textlink="$N$72">
      <xdr:nvSpPr>
        <xdr:cNvPr id="3" name="Rectangle: Rounded Corners 2">
          <a:extLst>
            <a:ext uri="{FF2B5EF4-FFF2-40B4-BE49-F238E27FC236}">
              <a16:creationId xmlns:a16="http://schemas.microsoft.com/office/drawing/2014/main" id="{D3BEBB6D-49B4-4CDC-9EB0-9A1799F3430A}"/>
            </a:ext>
          </a:extLst>
        </xdr:cNvPr>
        <xdr:cNvSpPr/>
      </xdr:nvSpPr>
      <xdr:spPr>
        <a:xfrm>
          <a:off x="4346575" y="1230538"/>
          <a:ext cx="3660775" cy="202701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endParaRPr>
        </a:p>
        <a:p>
          <a:pPr marL="0" indent="0" algn="ctr"/>
          <a:r>
            <a:rPr lang="en-US"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rPr>
            <a:t>TOTAL</a:t>
          </a:r>
          <a:r>
            <a:rPr lang="en-US" sz="3200" b="1" i="1" u="none" strike="noStrike" baseline="0">
              <a:solidFill>
                <a:schemeClr val="accent4">
                  <a:lumMod val="75000"/>
                </a:schemeClr>
              </a:solidFill>
              <a:effectLst/>
              <a:latin typeface="Segoe UI" panose="020B0502040204020203" pitchFamily="34" charset="0"/>
              <a:ea typeface="Calibri"/>
              <a:cs typeface="Segoe UI" panose="020B0502040204020203" pitchFamily="34" charset="0"/>
            </a:rPr>
            <a:t> SALES</a:t>
          </a:r>
        </a:p>
        <a:p>
          <a:pPr marL="0" indent="0" algn="ctr"/>
          <a:fld id="{BAD6BBE0-7E08-4E29-89B4-DBEEC0641727}" type="TxLink">
            <a:rPr lang="en-US"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rPr>
            <a:pPr marL="0" indent="0" algn="ctr"/>
            <a:t>₹ 2,63,800</a:t>
          </a:fld>
          <a:endParaRPr lang="en-US"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endParaRPr>
        </a:p>
      </xdr:txBody>
    </xdr:sp>
    <xdr:clientData/>
  </xdr:twoCellAnchor>
  <xdr:twoCellAnchor>
    <xdr:from>
      <xdr:col>13</xdr:col>
      <xdr:colOff>523875</xdr:colOff>
      <xdr:row>6</xdr:row>
      <xdr:rowOff>165552</xdr:rowOff>
    </xdr:from>
    <xdr:to>
      <xdr:col>20</xdr:col>
      <xdr:colOff>238124</xdr:colOff>
      <xdr:row>17</xdr:row>
      <xdr:rowOff>127000</xdr:rowOff>
    </xdr:to>
    <xdr:sp macro="" textlink="$P$72">
      <xdr:nvSpPr>
        <xdr:cNvPr id="4" name="Rectangle: Rounded Corners 3">
          <a:extLst>
            <a:ext uri="{FF2B5EF4-FFF2-40B4-BE49-F238E27FC236}">
              <a16:creationId xmlns:a16="http://schemas.microsoft.com/office/drawing/2014/main" id="{6914D304-5056-4A50-B4F4-92B7243E1372}"/>
            </a:ext>
          </a:extLst>
        </xdr:cNvPr>
        <xdr:cNvSpPr/>
      </xdr:nvSpPr>
      <xdr:spPr>
        <a:xfrm>
          <a:off x="9890125" y="1705427"/>
          <a:ext cx="4444999" cy="205694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endParaRPr>
        </a:p>
        <a:p>
          <a:pPr marL="0" indent="0" algn="ctr"/>
          <a:r>
            <a:rPr lang="en-US"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rPr>
            <a:t>TOTAL ORDERS</a:t>
          </a:r>
        </a:p>
        <a:p>
          <a:pPr marL="0" indent="0" algn="ctr"/>
          <a:fld id="{D1828FD1-45B2-4C93-AFCE-DB6EABEF6B26}" type="TxLink">
            <a:rPr lang="en-US"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rPr>
            <a:pPr marL="0" indent="0" algn="ctr"/>
            <a:t>14</a:t>
          </a:fld>
          <a:endParaRPr lang="en-IN"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endParaRPr>
        </a:p>
      </xdr:txBody>
    </xdr:sp>
    <xdr:clientData/>
  </xdr:twoCellAnchor>
  <xdr:twoCellAnchor>
    <xdr:from>
      <xdr:col>20</xdr:col>
      <xdr:colOff>508000</xdr:colOff>
      <xdr:row>7</xdr:row>
      <xdr:rowOff>8694</xdr:rowOff>
    </xdr:from>
    <xdr:to>
      <xdr:col>28</xdr:col>
      <xdr:colOff>238124</xdr:colOff>
      <xdr:row>17</xdr:row>
      <xdr:rowOff>126999</xdr:rowOff>
    </xdr:to>
    <xdr:sp macro="" textlink="$R$72">
      <xdr:nvSpPr>
        <xdr:cNvPr id="5" name="Rectangle: Rounded Corners 4">
          <a:extLst>
            <a:ext uri="{FF2B5EF4-FFF2-40B4-BE49-F238E27FC236}">
              <a16:creationId xmlns:a16="http://schemas.microsoft.com/office/drawing/2014/main" id="{D4699A0A-B4DD-4045-BF7A-259B3633135B}"/>
            </a:ext>
          </a:extLst>
        </xdr:cNvPr>
        <xdr:cNvSpPr/>
      </xdr:nvSpPr>
      <xdr:spPr>
        <a:xfrm>
          <a:off x="14605000" y="1739069"/>
          <a:ext cx="4603749" cy="202330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endParaRPr>
        </a:p>
        <a:p>
          <a:pPr marL="0" indent="0" algn="ctr"/>
          <a:r>
            <a:rPr lang="en-US"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rPr>
            <a:t>AVERAGE</a:t>
          </a:r>
          <a:r>
            <a:rPr lang="en-US" sz="3200" b="1" i="1" u="none" strike="noStrike" baseline="0">
              <a:solidFill>
                <a:schemeClr val="accent4">
                  <a:lumMod val="75000"/>
                </a:schemeClr>
              </a:solidFill>
              <a:effectLst/>
              <a:latin typeface="Segoe UI" panose="020B0502040204020203" pitchFamily="34" charset="0"/>
              <a:ea typeface="Calibri"/>
              <a:cs typeface="Segoe UI" panose="020B0502040204020203" pitchFamily="34" charset="0"/>
            </a:rPr>
            <a:t> SALES</a:t>
          </a:r>
        </a:p>
        <a:p>
          <a:pPr marL="0" indent="0" algn="ctr"/>
          <a:fld id="{04E245A8-9726-4706-A3E7-7FAF12043197}" type="TxLink">
            <a:rPr lang="en-US"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rPr>
            <a:pPr marL="0" indent="0" algn="ctr"/>
            <a:t>₹ 18,843</a:t>
          </a:fld>
          <a:endParaRPr lang="en-IN" sz="3200" b="1" i="1" u="none" strike="noStrike">
            <a:solidFill>
              <a:schemeClr val="accent4">
                <a:lumMod val="75000"/>
              </a:schemeClr>
            </a:solidFill>
            <a:effectLst/>
            <a:latin typeface="Segoe UI" panose="020B0502040204020203" pitchFamily="34" charset="0"/>
            <a:ea typeface="Calibri"/>
            <a:cs typeface="Segoe UI" panose="020B0502040204020203" pitchFamily="34" charset="0"/>
          </a:endParaRPr>
        </a:p>
      </xdr:txBody>
    </xdr:sp>
    <xdr:clientData/>
  </xdr:twoCellAnchor>
  <xdr:oneCellAnchor>
    <xdr:from>
      <xdr:col>0</xdr:col>
      <xdr:colOff>360135</xdr:colOff>
      <xdr:row>15</xdr:row>
      <xdr:rowOff>63500</xdr:rowOff>
    </xdr:from>
    <xdr:ext cx="2618015" cy="4356000"/>
    <mc:AlternateContent xmlns:mc="http://schemas.openxmlformats.org/markup-compatibility/2006">
      <mc:Choice xmlns:a14="http://schemas.microsoft.com/office/drawing/2010/main" Requires="a14">
        <xdr:graphicFrame macro="">
          <xdr:nvGraphicFramePr>
            <xdr:cNvPr id="6" name="Region 4">
              <a:extLst>
                <a:ext uri="{FF2B5EF4-FFF2-40B4-BE49-F238E27FC236}">
                  <a16:creationId xmlns:a16="http://schemas.microsoft.com/office/drawing/2014/main" id="{1CD0B19F-B2BA-4020-A1F8-5A1A55D40E57}"/>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360135" y="3317875"/>
              <a:ext cx="2618015" cy="43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302985</xdr:colOff>
      <xdr:row>41</xdr:row>
      <xdr:rowOff>104776</xdr:rowOff>
    </xdr:from>
    <xdr:ext cx="2691450" cy="3641724"/>
    <mc:AlternateContent xmlns:mc="http://schemas.openxmlformats.org/markup-compatibility/2006">
      <mc:Choice xmlns:a14="http://schemas.microsoft.com/office/drawing/2010/main" Requires="a14">
        <xdr:graphicFrame macro="">
          <xdr:nvGraphicFramePr>
            <xdr:cNvPr id="7" name="Category 2">
              <a:extLst>
                <a:ext uri="{FF2B5EF4-FFF2-40B4-BE49-F238E27FC236}">
                  <a16:creationId xmlns:a16="http://schemas.microsoft.com/office/drawing/2014/main" id="{8F80D3EA-E44E-4FD0-836A-11E64657199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302985" y="8788401"/>
              <a:ext cx="2691450" cy="3641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29</xdr:col>
      <xdr:colOff>412750</xdr:colOff>
      <xdr:row>0</xdr:row>
      <xdr:rowOff>460375</xdr:rowOff>
    </xdr:from>
    <xdr:ext cx="8994775" cy="4762500"/>
    <xdr:sp macro="" textlink="">
      <xdr:nvSpPr>
        <xdr:cNvPr id="11" name="TextBox 10">
          <a:extLst>
            <a:ext uri="{FF2B5EF4-FFF2-40B4-BE49-F238E27FC236}">
              <a16:creationId xmlns:a16="http://schemas.microsoft.com/office/drawing/2014/main" id="{F53AF1F0-FA70-46AB-B68D-1FCFDF50E854}"/>
            </a:ext>
          </a:extLst>
        </xdr:cNvPr>
        <xdr:cNvSpPr txBox="1"/>
      </xdr:nvSpPr>
      <xdr:spPr>
        <a:xfrm>
          <a:off x="18091150" y="180975"/>
          <a:ext cx="8994775" cy="47625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3200" b="1" i="1">
              <a:solidFill>
                <a:schemeClr val="accent4">
                  <a:lumMod val="75000"/>
                </a:schemeClr>
              </a:solidFill>
              <a:latin typeface="Segoe UI" panose="020B0502040204020203" pitchFamily="34" charset="0"/>
              <a:cs typeface="Segoe UI" panose="020B0502040204020203" pitchFamily="34" charset="0"/>
            </a:rPr>
            <a:t>Key Insights:</a:t>
          </a:r>
        </a:p>
        <a:p>
          <a:endParaRPr lang="en-IN" sz="3200" b="1" i="1">
            <a:solidFill>
              <a:schemeClr val="accent4">
                <a:lumMod val="75000"/>
              </a:schemeClr>
            </a:solidFill>
            <a:latin typeface="Segoe UI" panose="020B0502040204020203" pitchFamily="34" charset="0"/>
            <a:cs typeface="Segoe UI" panose="020B0502040204020203" pitchFamily="34" charset="0"/>
          </a:endParaRPr>
        </a:p>
        <a:p>
          <a:r>
            <a:rPr lang="en-IN" sz="2800" b="1" i="1">
              <a:solidFill>
                <a:schemeClr val="accent4">
                  <a:lumMod val="75000"/>
                </a:schemeClr>
              </a:solidFill>
              <a:latin typeface="Segoe UI" panose="020B0502040204020203" pitchFamily="34" charset="0"/>
              <a:cs typeface="Segoe UI" panose="020B0502040204020203" pitchFamily="34" charset="0"/>
            </a:rPr>
            <a:t>• Top Selling Product: Laptop  </a:t>
          </a:r>
        </a:p>
        <a:p>
          <a:r>
            <a:rPr lang="en-IN" sz="2800" b="1" i="1">
              <a:solidFill>
                <a:schemeClr val="accent4">
                  <a:lumMod val="75000"/>
                </a:schemeClr>
              </a:solidFill>
              <a:latin typeface="Segoe UI" panose="020B0502040204020203" pitchFamily="34" charset="0"/>
              <a:cs typeface="Segoe UI" panose="020B0502040204020203" pitchFamily="34" charset="0"/>
            </a:rPr>
            <a:t>• Lowest Selling Product: Cap  </a:t>
          </a:r>
        </a:p>
        <a:p>
          <a:r>
            <a:rPr lang="en-IN" sz="2800" b="1" i="1">
              <a:solidFill>
                <a:schemeClr val="accent4">
                  <a:lumMod val="75000"/>
                </a:schemeClr>
              </a:solidFill>
              <a:latin typeface="Segoe UI" panose="020B0502040204020203" pitchFamily="34" charset="0"/>
              <a:cs typeface="Segoe UI" panose="020B0502040204020203" pitchFamily="34" charset="0"/>
            </a:rPr>
            <a:t>• Highest Sales Region: West  </a:t>
          </a:r>
        </a:p>
        <a:p>
          <a:r>
            <a:rPr lang="en-IN" sz="2800" b="1" i="1">
              <a:solidFill>
                <a:schemeClr val="accent4">
                  <a:lumMod val="75000"/>
                </a:schemeClr>
              </a:solidFill>
              <a:latin typeface="Segoe UI" panose="020B0502040204020203" pitchFamily="34" charset="0"/>
              <a:cs typeface="Segoe UI" panose="020B0502040204020203" pitchFamily="34" charset="0"/>
            </a:rPr>
            <a:t>• Lowest Sales Region: South  </a:t>
          </a:r>
        </a:p>
        <a:p>
          <a:r>
            <a:rPr lang="en-IN" sz="2800" b="1" i="1">
              <a:solidFill>
                <a:schemeClr val="accent4">
                  <a:lumMod val="75000"/>
                </a:schemeClr>
              </a:solidFill>
              <a:latin typeface="Segoe UI" panose="020B0502040204020203" pitchFamily="34" charset="0"/>
              <a:cs typeface="Segoe UI" panose="020B0502040204020203" pitchFamily="34" charset="0"/>
            </a:rPr>
            <a:t>• Sales Trend: Declining over time  </a:t>
          </a:r>
        </a:p>
        <a:p>
          <a:r>
            <a:rPr lang="en-IN" sz="2800" b="1" i="1">
              <a:solidFill>
                <a:schemeClr val="accent4">
                  <a:lumMod val="75000"/>
                </a:schemeClr>
              </a:solidFill>
              <a:latin typeface="Segoe UI" panose="020B0502040204020203" pitchFamily="34" charset="0"/>
              <a:cs typeface="Segoe UI" panose="020B0502040204020203" pitchFamily="34" charset="0"/>
            </a:rPr>
            <a:t>• Peak Sales observed at the beginning period</a:t>
          </a:r>
          <a:r>
            <a:rPr lang="en-IN" sz="2800">
              <a:solidFill>
                <a:schemeClr val="accent4">
                  <a:lumMod val="75000"/>
                </a:schemeClr>
              </a:solidFill>
            </a:rPr>
            <a:t>  </a:t>
          </a:r>
        </a:p>
      </xdr:txBody>
    </xdr:sp>
    <xdr:clientData/>
  </xdr:oneCellAnchor>
  <xdr:twoCellAnchor>
    <xdr:from>
      <xdr:col>5</xdr:col>
      <xdr:colOff>-1</xdr:colOff>
      <xdr:row>29</xdr:row>
      <xdr:rowOff>15875</xdr:rowOff>
    </xdr:from>
    <xdr:to>
      <xdr:col>14</xdr:col>
      <xdr:colOff>31750</xdr:colOff>
      <xdr:row>59</xdr:row>
      <xdr:rowOff>158750</xdr:rowOff>
    </xdr:to>
    <xdr:graphicFrame macro="">
      <xdr:nvGraphicFramePr>
        <xdr:cNvPr id="18" name="Chart 17">
          <a:extLst>
            <a:ext uri="{FF2B5EF4-FFF2-40B4-BE49-F238E27FC236}">
              <a16:creationId xmlns:a16="http://schemas.microsoft.com/office/drawing/2014/main" id="{FA9E8E8D-F84B-46DB-B7B9-DDAE765A4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365124</xdr:colOff>
      <xdr:row>29</xdr:row>
      <xdr:rowOff>47625</xdr:rowOff>
    </xdr:from>
    <xdr:to>
      <xdr:col>30</xdr:col>
      <xdr:colOff>15874</xdr:colOff>
      <xdr:row>60</xdr:row>
      <xdr:rowOff>47625</xdr:rowOff>
    </xdr:to>
    <xdr:graphicFrame macro="">
      <xdr:nvGraphicFramePr>
        <xdr:cNvPr id="19" name="Chart 18">
          <a:extLst>
            <a:ext uri="{FF2B5EF4-FFF2-40B4-BE49-F238E27FC236}">
              <a16:creationId xmlns:a16="http://schemas.microsoft.com/office/drawing/2014/main" id="{47EC4350-F98A-4A32-9A2B-B76E18FF2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222250</xdr:colOff>
      <xdr:row>29</xdr:row>
      <xdr:rowOff>0</xdr:rowOff>
    </xdr:from>
    <xdr:to>
      <xdr:col>45</xdr:col>
      <xdr:colOff>412750</xdr:colOff>
      <xdr:row>60</xdr:row>
      <xdr:rowOff>63500</xdr:rowOff>
    </xdr:to>
    <xdr:graphicFrame macro="">
      <xdr:nvGraphicFramePr>
        <xdr:cNvPr id="20" name="Chart 19">
          <a:extLst>
            <a:ext uri="{FF2B5EF4-FFF2-40B4-BE49-F238E27FC236}">
              <a16:creationId xmlns:a16="http://schemas.microsoft.com/office/drawing/2014/main" id="{1C60EDCD-66AE-4A55-B595-294BE6EA5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a472f5dc37621a36/Desktop/EXCEL/excel_practice_workbook.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gamrutha meesala" refreshedDate="46117.567269791667" createdVersion="8" refreshedVersion="8" minRefreshableVersion="3" recordCount="14" xr:uid="{1549AA2D-AA66-4695-84F7-8FA44439CC5B}">
  <cacheSource type="worksheet">
    <worksheetSource name="Table42" r:id="rId2"/>
  </cacheSource>
  <cacheFields count="5">
    <cacheField name="Date" numFmtId="14">
      <sharedItems containsSemiMixedTypes="0" containsNonDate="0" containsDate="1" containsString="0" minDate="2024-01-01T00:00:00" maxDate="2024-01-15T00:00:00" count="14">
        <d v="2024-01-08T00:00:00"/>
        <d v="2024-01-01T00:00:00"/>
        <d v="2024-01-10T00:00:00"/>
        <d v="2024-01-03T00:00:00"/>
        <d v="2024-01-09T00:00:00"/>
        <d v="2024-01-02T00:00:00"/>
        <d v="2024-01-13T00:00:00"/>
        <d v="2024-01-06T00:00:00"/>
        <d v="2024-01-11T00:00:00"/>
        <d v="2024-01-04T00:00:00"/>
        <d v="2024-01-12T00:00:00"/>
        <d v="2024-01-05T00:00:00"/>
        <d v="2024-01-14T00:00:00"/>
        <d v="2024-01-07T00:00:00"/>
      </sharedItems>
    </cacheField>
    <cacheField name="Product" numFmtId="0">
      <sharedItems count="7">
        <s v="Laptop"/>
        <s v="Tv"/>
        <s v="Phone"/>
        <s v="Watch"/>
        <s v="Shoes"/>
        <s v="Shirt"/>
        <s v="Cap"/>
      </sharedItems>
    </cacheField>
    <cacheField name="Category" numFmtId="0">
      <sharedItems count="3">
        <s v="Electronics"/>
        <s v="Accessories"/>
        <s v="Clothing"/>
      </sharedItems>
    </cacheField>
    <cacheField name="Region" numFmtId="0">
      <sharedItems count="3">
        <s v="West"/>
        <s v="North"/>
        <s v="South"/>
      </sharedItems>
    </cacheField>
    <cacheField name="Sales" numFmtId="0">
      <sharedItems containsSemiMixedTypes="0" containsString="0" containsNumber="1" containsInteger="1" minValue="800" maxValue="60000"/>
    </cacheField>
  </cacheFields>
  <extLst>
    <ext xmlns:x14="http://schemas.microsoft.com/office/spreadsheetml/2009/9/main" uri="{725AE2AE-9491-48be-B2B4-4EB974FC3084}">
      <x14:pivotCacheDefinition pivotCacheId="8398623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gamrutha meesala" refreshedDate="46189.522217939812" createdVersion="8" refreshedVersion="8" minRefreshableVersion="3" recordCount="14" xr:uid="{F4A7577E-483E-4462-982A-6BA620016E51}">
  <cacheSource type="worksheet">
    <worksheetSource name="Table42"/>
  </cacheSource>
  <cacheFields count="5">
    <cacheField name="Date" numFmtId="14">
      <sharedItems containsSemiMixedTypes="0" containsNonDate="0" containsDate="1" containsString="0" minDate="2024-01-01T00:00:00" maxDate="2024-01-15T00:00:00"/>
    </cacheField>
    <cacheField name="Product" numFmtId="0">
      <sharedItems count="7">
        <s v="Laptop"/>
        <s v="Tv"/>
        <s v="Phone"/>
        <s v="Watch"/>
        <s v="Shoes"/>
        <s v="Shirt"/>
        <s v="Cap"/>
      </sharedItems>
    </cacheField>
    <cacheField name="Category" numFmtId="0">
      <sharedItems/>
    </cacheField>
    <cacheField name="Region" numFmtId="0">
      <sharedItems/>
    </cacheField>
    <cacheField name="Sales" numFmtId="0">
      <sharedItems containsSemiMixedTypes="0" containsString="0" containsNumber="1" containsInteger="1" minValue="800" maxValue="6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x v="0"/>
    <n v="60000"/>
  </r>
  <r>
    <x v="1"/>
    <x v="0"/>
    <x v="0"/>
    <x v="1"/>
    <n v="50000"/>
  </r>
  <r>
    <x v="2"/>
    <x v="1"/>
    <x v="0"/>
    <x v="2"/>
    <n v="45000"/>
  </r>
  <r>
    <x v="3"/>
    <x v="1"/>
    <x v="0"/>
    <x v="0"/>
    <n v="40000"/>
  </r>
  <r>
    <x v="4"/>
    <x v="2"/>
    <x v="0"/>
    <x v="1"/>
    <n v="25000"/>
  </r>
  <r>
    <x v="5"/>
    <x v="2"/>
    <x v="0"/>
    <x v="2"/>
    <n v="20000"/>
  </r>
  <r>
    <x v="6"/>
    <x v="3"/>
    <x v="1"/>
    <x v="1"/>
    <n v="7000"/>
  </r>
  <r>
    <x v="7"/>
    <x v="3"/>
    <x v="1"/>
    <x v="0"/>
    <n v="5000"/>
  </r>
  <r>
    <x v="8"/>
    <x v="4"/>
    <x v="2"/>
    <x v="0"/>
    <n v="3500"/>
  </r>
  <r>
    <x v="9"/>
    <x v="4"/>
    <x v="2"/>
    <x v="2"/>
    <n v="3000"/>
  </r>
  <r>
    <x v="10"/>
    <x v="5"/>
    <x v="2"/>
    <x v="2"/>
    <n v="2000"/>
  </r>
  <r>
    <x v="11"/>
    <x v="5"/>
    <x v="2"/>
    <x v="1"/>
    <n v="1500"/>
  </r>
  <r>
    <x v="12"/>
    <x v="6"/>
    <x v="1"/>
    <x v="0"/>
    <n v="1000"/>
  </r>
  <r>
    <x v="13"/>
    <x v="6"/>
    <x v="1"/>
    <x v="2"/>
    <n v="8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d v="2024-01-08T00:00:00"/>
    <x v="0"/>
    <s v="Electronics"/>
    <s v="West"/>
    <n v="60000"/>
  </r>
  <r>
    <d v="2024-01-01T00:00:00"/>
    <x v="0"/>
    <s v="Electronics"/>
    <s v="North"/>
    <n v="50000"/>
  </r>
  <r>
    <d v="2024-01-10T00:00:00"/>
    <x v="1"/>
    <s v="Electronics"/>
    <s v="South"/>
    <n v="45000"/>
  </r>
  <r>
    <d v="2024-01-03T00:00:00"/>
    <x v="1"/>
    <s v="Electronics"/>
    <s v="West"/>
    <n v="40000"/>
  </r>
  <r>
    <d v="2024-01-09T00:00:00"/>
    <x v="2"/>
    <s v="Electronics"/>
    <s v="North"/>
    <n v="25000"/>
  </r>
  <r>
    <d v="2024-01-02T00:00:00"/>
    <x v="2"/>
    <s v="Electronics"/>
    <s v="South"/>
    <n v="20000"/>
  </r>
  <r>
    <d v="2024-01-13T00:00:00"/>
    <x v="3"/>
    <s v="Accessories"/>
    <s v="North"/>
    <n v="7000"/>
  </r>
  <r>
    <d v="2024-01-06T00:00:00"/>
    <x v="3"/>
    <s v="Accessories"/>
    <s v="West"/>
    <n v="5000"/>
  </r>
  <r>
    <d v="2024-01-11T00:00:00"/>
    <x v="4"/>
    <s v="Clothing"/>
    <s v="West"/>
    <n v="3500"/>
  </r>
  <r>
    <d v="2024-01-04T00:00:00"/>
    <x v="4"/>
    <s v="Clothing"/>
    <s v="South"/>
    <n v="3000"/>
  </r>
  <r>
    <d v="2024-01-12T00:00:00"/>
    <x v="5"/>
    <s v="Clothing"/>
    <s v="South"/>
    <n v="2000"/>
  </r>
  <r>
    <d v="2024-01-05T00:00:00"/>
    <x v="5"/>
    <s v="Clothing"/>
    <s v="North"/>
    <n v="1500"/>
  </r>
  <r>
    <d v="2024-01-14T00:00:00"/>
    <x v="6"/>
    <s v="Accessories"/>
    <s v="West"/>
    <n v="1000"/>
  </r>
  <r>
    <d v="2024-01-07T00:00:00"/>
    <x v="6"/>
    <s v="Accessories"/>
    <s v="South"/>
    <n v="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ED05B6-CB67-4400-98FF-06258F663ED1}"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G14:H29" firstHeaderRow="1" firstDataRow="1" firstDataCol="1"/>
  <pivotFields count="5">
    <pivotField axis="axisRow" numFmtId="14" showAll="0" sortType="descending">
      <items count="15">
        <item x="1"/>
        <item x="5"/>
        <item x="3"/>
        <item x="9"/>
        <item x="11"/>
        <item x="7"/>
        <item x="13"/>
        <item x="0"/>
        <item x="4"/>
        <item x="2"/>
        <item x="8"/>
        <item x="10"/>
        <item x="6"/>
        <item x="12"/>
        <item t="default"/>
      </items>
      <autoSortScope>
        <pivotArea dataOnly="0" outline="0" fieldPosition="0">
          <references count="1">
            <reference field="4294967294" count="1" selected="0">
              <x v="0"/>
            </reference>
          </references>
        </pivotArea>
      </autoSortScope>
    </pivotField>
    <pivotField measureFilter="1" sortType="descending">
      <items count="8">
        <item x="6"/>
        <item x="0"/>
        <item x="2"/>
        <item x="5"/>
        <item x="4"/>
        <item x="1"/>
        <item x="3"/>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4">
        <item x="1"/>
        <item x="2"/>
        <item x="0"/>
        <item t="default"/>
      </items>
    </pivotField>
    <pivotField dataField="1" showAll="0"/>
  </pivotFields>
  <rowFields count="1">
    <field x="0"/>
  </rowFields>
  <rowItems count="15">
    <i>
      <x v="7"/>
    </i>
    <i>
      <x/>
    </i>
    <i>
      <x v="9"/>
    </i>
    <i>
      <x v="2"/>
    </i>
    <i>
      <x v="8"/>
    </i>
    <i>
      <x v="1"/>
    </i>
    <i>
      <x v="12"/>
    </i>
    <i>
      <x v="5"/>
    </i>
    <i>
      <x v="10"/>
    </i>
    <i>
      <x v="3"/>
    </i>
    <i>
      <x v="11"/>
    </i>
    <i>
      <x v="4"/>
    </i>
    <i>
      <x v="13"/>
    </i>
    <i>
      <x v="6"/>
    </i>
    <i t="grand">
      <x/>
    </i>
  </rowItems>
  <colItems count="1">
    <i/>
  </colItems>
  <dataFields count="1">
    <dataField name="Sum of Sales" fld="4" baseField="0" baseItem="0"/>
  </dataFields>
  <chartFormats count="4">
    <chartFormat chart="7"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DA1404-B621-4F1D-A16B-2C26454185B4}" name="PivotTable7" cacheId="3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K16:L24" firstHeaderRow="1" firstDataRow="1" firstDataCol="1"/>
  <pivotFields count="5">
    <pivotField numFmtId="14" showAll="0"/>
    <pivotField axis="axisRow" showAll="0" sortType="descending">
      <items count="8">
        <item x="3"/>
        <item x="1"/>
        <item x="4"/>
        <item x="5"/>
        <item x="2"/>
        <item x="0"/>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
  </rowFields>
  <rowItems count="8">
    <i>
      <x v="5"/>
    </i>
    <i>
      <x v="1"/>
    </i>
    <i>
      <x v="4"/>
    </i>
    <i>
      <x/>
    </i>
    <i>
      <x v="2"/>
    </i>
    <i>
      <x v="3"/>
    </i>
    <i>
      <x v="6"/>
    </i>
    <i t="grand">
      <x/>
    </i>
  </rowItems>
  <colItems count="1">
    <i/>
  </colItems>
  <dataFields count="1">
    <dataField name="Sum of Sales" fld="4"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27731B-8D66-4091-B713-C701232916FC}" name="PivotTable2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O6" firstHeaderRow="1" firstDataRow="1" firstDataCol="0"/>
  <pivotFields count="5">
    <pivotField numFmtId="14" showAll="0"/>
    <pivotField showAll="0"/>
    <pivotField showAll="0">
      <items count="4">
        <item x="1"/>
        <item x="2"/>
        <item x="0"/>
        <item t="default"/>
      </items>
    </pivotField>
    <pivotField showAll="0">
      <items count="4">
        <item x="1"/>
        <item x="2"/>
        <item x="0"/>
        <item t="default"/>
      </items>
    </pivotField>
    <pivotField dataField="1" showAll="0"/>
  </pivotFields>
  <rowItems count="1">
    <i/>
  </rowItems>
  <colItems count="1">
    <i/>
  </colItems>
  <dataFields count="1">
    <dataField name="Sum of Sales" fld="4"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6958E8-71B8-44DC-9613-FB63FBE4C1D4}" name="PivotTable2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P11" firstHeaderRow="1" firstDataRow="1" firstDataCol="0"/>
  <pivotFields count="5">
    <pivotField numFmtId="14" showAll="0"/>
    <pivotField showAll="0"/>
    <pivotField showAll="0">
      <items count="4">
        <item x="1"/>
        <item x="2"/>
        <item x="0"/>
        <item t="default"/>
      </items>
    </pivotField>
    <pivotField showAll="0">
      <items count="4">
        <item x="1"/>
        <item x="2"/>
        <item x="0"/>
        <item t="default"/>
      </items>
    </pivotField>
    <pivotField dataField="1" showAll="0"/>
  </pivotFields>
  <rowItems count="1">
    <i/>
  </rowItems>
  <colItems count="1">
    <i/>
  </colItems>
  <dataFields count="1">
    <dataField name="Count of Sales" fld="4" subtotal="count"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9094D6-8CD8-4C01-8A83-858847846F3F}" name="PivotTable2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5:O16" firstHeaderRow="1" firstDataRow="1" firstDataCol="0"/>
  <pivotFields count="5">
    <pivotField numFmtId="14" showAll="0"/>
    <pivotField showAll="0"/>
    <pivotField showAll="0">
      <items count="4">
        <item x="1"/>
        <item x="2"/>
        <item x="0"/>
        <item t="default"/>
      </items>
    </pivotField>
    <pivotField showAll="0">
      <items count="4">
        <item x="1"/>
        <item x="2"/>
        <item x="0"/>
        <item t="default"/>
      </items>
    </pivotField>
    <pivotField dataField="1" showAll="0"/>
  </pivotFields>
  <rowItems count="1">
    <i/>
  </rowItems>
  <colItems count="1">
    <i/>
  </colItems>
  <dataFields count="1">
    <dataField name="Average of Sales" fld="4" subtotal="average" baseField="0" baseItem="0" numFmtId="9"/>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9F2397-380A-487C-9ED3-845DE2002903}" name="PivotTable1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G3:H7" firstHeaderRow="1" firstDataRow="1" firstDataCol="1"/>
  <pivotFields count="5">
    <pivotField numFmtId="14" showAll="0"/>
    <pivotField showAll="0"/>
    <pivotField showAll="0">
      <items count="4">
        <item x="1"/>
        <item x="2"/>
        <item x="0"/>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s>
  <rowFields count="1">
    <field x="3"/>
  </rowFields>
  <rowItems count="4">
    <i>
      <x v="2"/>
    </i>
    <i>
      <x/>
    </i>
    <i>
      <x v="1"/>
    </i>
    <i t="grand">
      <x/>
    </i>
  </rowItems>
  <colItems count="1">
    <i/>
  </colItems>
  <dataFields count="1">
    <dataField name="Sum of Sales" fld="4" baseField="0" baseItem="0"/>
  </dataFields>
  <chartFormats count="8">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3" count="1" selected="0">
            <x v="2"/>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3" count="1" selected="0">
            <x v="2"/>
          </reference>
        </references>
      </pivotArea>
    </chartFormat>
    <chartFormat chart="23" format="7">
      <pivotArea type="data" outline="0" fieldPosition="0">
        <references count="2">
          <reference field="4294967294" count="1" selected="0">
            <x v="0"/>
          </reference>
          <reference field="3" count="1" selected="0">
            <x v="0"/>
          </reference>
        </references>
      </pivotArea>
    </chartFormat>
    <chartFormat chart="23" format="8">
      <pivotArea type="data" outline="0" fieldPosition="0">
        <references count="2">
          <reference field="4294967294" count="1" selected="0">
            <x v="0"/>
          </reference>
          <reference field="3"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F8B343-F8A0-45FE-8C5D-A0C9575BE6A5}" name="PivotTable1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J4:K12" firstHeaderRow="1" firstDataRow="1" firstDataCol="1"/>
  <pivotFields count="5">
    <pivotField numFmtId="14" showAll="0"/>
    <pivotField axis="axisRow" measureFilter="1" sortType="descending">
      <items count="8">
        <item x="6"/>
        <item x="0"/>
        <item x="2"/>
        <item x="5"/>
        <item x="4"/>
        <item x="1"/>
        <item x="3"/>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4">
        <item x="1"/>
        <item x="2"/>
        <item x="0"/>
        <item t="default"/>
      </items>
    </pivotField>
    <pivotField dataField="1" showAll="0"/>
  </pivotFields>
  <rowFields count="1">
    <field x="1"/>
  </rowFields>
  <rowItems count="8">
    <i>
      <x v="1"/>
    </i>
    <i>
      <x v="5"/>
    </i>
    <i>
      <x v="2"/>
    </i>
    <i>
      <x v="6"/>
    </i>
    <i>
      <x v="4"/>
    </i>
    <i>
      <x v="3"/>
    </i>
    <i>
      <x/>
    </i>
    <i t="grand">
      <x/>
    </i>
  </rowItems>
  <colItems count="1">
    <i/>
  </colItems>
  <dataFields count="1">
    <dataField name="Sum of Sales" fld="4" baseField="0" baseItem="0"/>
  </dataFields>
  <chartFormats count="2">
    <chartFormat chart="7"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1" xr10:uid="{F1E3AF19-75FF-484D-A99A-6C64CC7D7A8C}" sourceName="Region">
  <pivotTables>
    <pivotTable tabId="2" name="PivotTable17"/>
    <pivotTable tabId="2" name="PivotTable18"/>
    <pivotTable tabId="2" name="PivotTable20"/>
    <pivotTable tabId="2" name="PivotTable21"/>
    <pivotTable tabId="2" name="PivotTable22"/>
    <pivotTable tabId="2" name="PivotTable11"/>
  </pivotTables>
  <data>
    <tabular pivotCacheId="83986235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1" xr10:uid="{7F7C340F-421F-428D-875A-F503806EF5BA}" sourceName="Category">
  <pivotTables>
    <pivotTable tabId="2" name="PivotTable17"/>
    <pivotTable tabId="2" name="PivotTable18"/>
    <pivotTable tabId="2" name="PivotTable20"/>
    <pivotTable tabId="2" name="PivotTable21"/>
    <pivotTable tabId="2" name="PivotTable22"/>
    <pivotTable tabId="2" name="PivotTable11"/>
  </pivotTables>
  <data>
    <tabular pivotCacheId="83986235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38791E46-9FF3-43AC-BBE8-F97B12BB83CE}" cache="Slicer_Region31" caption="Region" style="SlicerStyleLight4" rowHeight="1260000"/>
  <slicer name="Category 2" xr10:uid="{2BA5746C-F74D-4AFE-9108-1456F1F119BC}" cache="Slicer_Category11" caption="Category" style="SlicerStyleLight4" rowHeight="10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EA5839-0D78-4777-A0C4-E268D750AF55}" name="Table31" displayName="Table31" ref="A1:D16" totalsRowShown="0">
  <autoFilter ref="A1:D16" xr:uid="{FF19425E-0F1E-4C07-99EE-F88EE6FB27A4}"/>
  <tableColumns count="4">
    <tableColumn id="1" xr3:uid="{050122AC-1D14-40F7-A895-5D93E874B284}" name="Column1"/>
    <tableColumn id="2" xr3:uid="{529B0144-004D-4E32-80DF-93AFFD74EFED}" name="Column2"/>
    <tableColumn id="3" xr3:uid="{FBECC648-C013-427D-8A23-643C9AD5EFE9}" name="Column3"/>
    <tableColumn id="4" xr3:uid="{8390D94A-584E-4162-AD6C-794FB70BB3B0}" name="Column4"/>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DE6A39-2C35-4C6D-A19F-DE346CB208B6}" name="Table42" displayName="Table42" ref="A1:E15" totalsRowShown="0" headerRowDxfId="7" dataDxfId="6" tableBorderDxfId="5">
  <autoFilter ref="A1:E15" xr:uid="{776C8EF6-DF62-499F-9EC6-F67BC4A66EB3}"/>
  <tableColumns count="5">
    <tableColumn id="1" xr3:uid="{5BF9A582-E6F3-48FB-A4D3-216AB208998C}" name="Date" dataDxfId="4"/>
    <tableColumn id="2" xr3:uid="{97E5ABC3-F11D-4B09-8A04-880BC40EB0AA}" name="Product" dataDxfId="3"/>
    <tableColumn id="3" xr3:uid="{34690CEC-FC5E-4926-82B9-18227597B461}" name="Category" dataDxfId="2"/>
    <tableColumn id="4" xr3:uid="{A9057A6B-D6C5-4F4B-B2C8-CE3DC40D41F9}" name="Region" dataDxfId="1"/>
    <tableColumn id="5" xr3:uid="{926A2F8C-D6C9-4698-B3C9-2DAF07329745}" name="Sales"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128A-BE23-47B4-93CF-16EC9784B4B8}">
  <dimension ref="A1:H16"/>
  <sheetViews>
    <sheetView workbookViewId="0">
      <selection activeCell="G9" sqref="G9"/>
    </sheetView>
  </sheetViews>
  <sheetFormatPr defaultRowHeight="14.5" x14ac:dyDescent="0.35"/>
  <cols>
    <col min="1" max="3" width="10.26953125" customWidth="1"/>
    <col min="4" max="4" width="10.08984375" customWidth="1"/>
    <col min="8" max="8" width="10.08984375" bestFit="1" customWidth="1"/>
    <col min="9" max="9" width="7.26953125" bestFit="1" customWidth="1"/>
  </cols>
  <sheetData>
    <row r="1" spans="1:8" x14ac:dyDescent="0.35">
      <c r="A1" t="s">
        <v>41</v>
      </c>
      <c r="B1" t="s">
        <v>40</v>
      </c>
      <c r="C1" t="s">
        <v>39</v>
      </c>
      <c r="D1" t="s">
        <v>38</v>
      </c>
    </row>
    <row r="2" spans="1:8" x14ac:dyDescent="0.35">
      <c r="A2" t="s">
        <v>37</v>
      </c>
      <c r="H2" s="19"/>
    </row>
    <row r="3" spans="1:8" x14ac:dyDescent="0.35">
      <c r="A3" t="s">
        <v>36</v>
      </c>
      <c r="H3" s="19"/>
    </row>
    <row r="4" spans="1:8" x14ac:dyDescent="0.35">
      <c r="A4" t="s">
        <v>35</v>
      </c>
      <c r="H4" s="19"/>
    </row>
    <row r="5" spans="1:8" x14ac:dyDescent="0.35">
      <c r="A5" t="s">
        <v>34</v>
      </c>
      <c r="H5" s="19"/>
    </row>
    <row r="6" spans="1:8" x14ac:dyDescent="0.35">
      <c r="A6" t="s">
        <v>33</v>
      </c>
      <c r="H6" s="19"/>
    </row>
    <row r="7" spans="1:8" x14ac:dyDescent="0.35">
      <c r="A7" t="s">
        <v>32</v>
      </c>
      <c r="H7" s="19"/>
    </row>
    <row r="8" spans="1:8" x14ac:dyDescent="0.35">
      <c r="A8" t="s">
        <v>31</v>
      </c>
      <c r="H8" s="19"/>
    </row>
    <row r="9" spans="1:8" x14ac:dyDescent="0.35">
      <c r="A9" t="s">
        <v>30</v>
      </c>
      <c r="H9" s="19"/>
    </row>
    <row r="10" spans="1:8" x14ac:dyDescent="0.35">
      <c r="A10" t="s">
        <v>29</v>
      </c>
      <c r="H10" s="19"/>
    </row>
    <row r="11" spans="1:8" x14ac:dyDescent="0.35">
      <c r="A11" t="s">
        <v>28</v>
      </c>
      <c r="H11" s="19"/>
    </row>
    <row r="12" spans="1:8" x14ac:dyDescent="0.35">
      <c r="A12" t="s">
        <v>27</v>
      </c>
      <c r="H12" s="19"/>
    </row>
    <row r="13" spans="1:8" x14ac:dyDescent="0.35">
      <c r="A13" t="s">
        <v>26</v>
      </c>
      <c r="H13" s="19"/>
    </row>
    <row r="14" spans="1:8" x14ac:dyDescent="0.35">
      <c r="A14" t="s">
        <v>25</v>
      </c>
      <c r="H14" s="19"/>
    </row>
    <row r="15" spans="1:8" x14ac:dyDescent="0.35">
      <c r="A15" t="s">
        <v>24</v>
      </c>
      <c r="H15" s="19"/>
    </row>
    <row r="16" spans="1:8" x14ac:dyDescent="0.35">
      <c r="A16"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8408-7503-480C-8B0D-D379071730D9}">
  <dimension ref="A1:P29"/>
  <sheetViews>
    <sheetView topLeftCell="B1" workbookViewId="0">
      <selection activeCell="O16" sqref="O16"/>
    </sheetView>
  </sheetViews>
  <sheetFormatPr defaultRowHeight="14.5" x14ac:dyDescent="0.35"/>
  <cols>
    <col min="1" max="1" width="11.54296875" customWidth="1"/>
    <col min="2" max="2" width="9.7265625" bestFit="1" customWidth="1"/>
    <col min="3" max="4" width="12.36328125" bestFit="1" customWidth="1"/>
    <col min="5" max="5" width="11.26953125" bestFit="1" customWidth="1"/>
    <col min="7" max="7" width="12.36328125" bestFit="1" customWidth="1"/>
    <col min="8" max="8" width="11.26953125" bestFit="1" customWidth="1"/>
    <col min="10" max="10" width="12.36328125" bestFit="1" customWidth="1"/>
    <col min="11" max="11" width="11.26953125" bestFit="1" customWidth="1"/>
    <col min="12" max="12" width="12.7265625" bestFit="1" customWidth="1"/>
    <col min="15" max="15" width="14.453125" bestFit="1" customWidth="1"/>
    <col min="16" max="16" width="12.7265625" bestFit="1" customWidth="1"/>
  </cols>
  <sheetData>
    <row r="1" spans="1:16" x14ac:dyDescent="0.35">
      <c r="A1" s="8" t="s">
        <v>0</v>
      </c>
      <c r="B1" s="8" t="s">
        <v>1</v>
      </c>
      <c r="C1" s="8" t="s">
        <v>2</v>
      </c>
      <c r="D1" s="8" t="s">
        <v>3</v>
      </c>
      <c r="E1" s="8" t="s">
        <v>4</v>
      </c>
    </row>
    <row r="2" spans="1:16" x14ac:dyDescent="0.35">
      <c r="A2" s="9">
        <v>45299</v>
      </c>
      <c r="B2" s="10" t="s">
        <v>5</v>
      </c>
      <c r="C2" s="10" t="s">
        <v>6</v>
      </c>
      <c r="D2" s="10" t="s">
        <v>7</v>
      </c>
      <c r="E2" s="10">
        <v>60000</v>
      </c>
    </row>
    <row r="3" spans="1:16" x14ac:dyDescent="0.35">
      <c r="A3" s="11">
        <v>45292</v>
      </c>
      <c r="B3" s="12" t="s">
        <v>5</v>
      </c>
      <c r="C3" s="12" t="s">
        <v>6</v>
      </c>
      <c r="D3" s="12" t="s">
        <v>8</v>
      </c>
      <c r="E3" s="12">
        <v>50000</v>
      </c>
      <c r="G3" s="17" t="s">
        <v>9</v>
      </c>
      <c r="H3" t="s">
        <v>10</v>
      </c>
    </row>
    <row r="4" spans="1:16" x14ac:dyDescent="0.35">
      <c r="A4" s="13">
        <v>45301</v>
      </c>
      <c r="B4" s="14" t="s">
        <v>11</v>
      </c>
      <c r="C4" s="14" t="s">
        <v>6</v>
      </c>
      <c r="D4" s="14" t="s">
        <v>12</v>
      </c>
      <c r="E4" s="14">
        <v>45000</v>
      </c>
      <c r="G4" s="15" t="s">
        <v>7</v>
      </c>
      <c r="H4" s="18">
        <v>109500</v>
      </c>
      <c r="J4" s="17" t="s">
        <v>9</v>
      </c>
      <c r="K4" t="s">
        <v>10</v>
      </c>
    </row>
    <row r="5" spans="1:16" x14ac:dyDescent="0.35">
      <c r="A5" s="11">
        <v>45294</v>
      </c>
      <c r="B5" s="12" t="s">
        <v>11</v>
      </c>
      <c r="C5" s="12" t="s">
        <v>6</v>
      </c>
      <c r="D5" s="12" t="s">
        <v>7</v>
      </c>
      <c r="E5" s="12">
        <v>40000</v>
      </c>
      <c r="G5" s="15" t="s">
        <v>8</v>
      </c>
      <c r="H5" s="18">
        <v>83500</v>
      </c>
      <c r="J5" s="15" t="s">
        <v>5</v>
      </c>
      <c r="K5" s="18">
        <v>110000</v>
      </c>
      <c r="O5" t="s">
        <v>10</v>
      </c>
    </row>
    <row r="6" spans="1:16" x14ac:dyDescent="0.35">
      <c r="A6" s="13">
        <v>45300</v>
      </c>
      <c r="B6" s="14" t="s">
        <v>13</v>
      </c>
      <c r="C6" s="14" t="s">
        <v>6</v>
      </c>
      <c r="D6" s="14" t="s">
        <v>8</v>
      </c>
      <c r="E6" s="14">
        <v>25000</v>
      </c>
      <c r="G6" s="15" t="s">
        <v>12</v>
      </c>
      <c r="H6" s="18">
        <v>70800</v>
      </c>
      <c r="J6" s="15" t="s">
        <v>11</v>
      </c>
      <c r="K6" s="18">
        <v>85000</v>
      </c>
      <c r="O6" s="18">
        <v>263800</v>
      </c>
    </row>
    <row r="7" spans="1:16" x14ac:dyDescent="0.35">
      <c r="A7" s="11">
        <v>45293</v>
      </c>
      <c r="B7" s="12" t="s">
        <v>13</v>
      </c>
      <c r="C7" s="12" t="s">
        <v>6</v>
      </c>
      <c r="D7" s="12" t="s">
        <v>12</v>
      </c>
      <c r="E7" s="12">
        <v>20000</v>
      </c>
      <c r="G7" s="15" t="s">
        <v>14</v>
      </c>
      <c r="H7" s="18">
        <v>263800</v>
      </c>
      <c r="J7" s="15" t="s">
        <v>13</v>
      </c>
      <c r="K7" s="18">
        <v>45000</v>
      </c>
      <c r="M7">
        <f>GETPIVOTDATA("Sales",$O$5)</f>
        <v>263800</v>
      </c>
    </row>
    <row r="8" spans="1:16" x14ac:dyDescent="0.35">
      <c r="A8" s="13">
        <v>45304</v>
      </c>
      <c r="B8" s="14" t="s">
        <v>15</v>
      </c>
      <c r="C8" s="14" t="s">
        <v>16</v>
      </c>
      <c r="D8" s="14" t="s">
        <v>8</v>
      </c>
      <c r="E8" s="14">
        <v>7000</v>
      </c>
      <c r="J8" s="15" t="s">
        <v>15</v>
      </c>
      <c r="K8" s="18">
        <v>12000</v>
      </c>
    </row>
    <row r="9" spans="1:16" x14ac:dyDescent="0.35">
      <c r="A9" s="11">
        <v>45297</v>
      </c>
      <c r="B9" s="12" t="s">
        <v>15</v>
      </c>
      <c r="C9" s="12" t="s">
        <v>16</v>
      </c>
      <c r="D9" s="12" t="s">
        <v>7</v>
      </c>
      <c r="E9" s="12">
        <v>5000</v>
      </c>
      <c r="J9" s="15" t="s">
        <v>17</v>
      </c>
      <c r="K9" s="18">
        <v>6500</v>
      </c>
    </row>
    <row r="10" spans="1:16" x14ac:dyDescent="0.35">
      <c r="A10" s="13">
        <v>45302</v>
      </c>
      <c r="B10" s="14" t="s">
        <v>17</v>
      </c>
      <c r="C10" s="14" t="s">
        <v>18</v>
      </c>
      <c r="D10" s="14" t="s">
        <v>7</v>
      </c>
      <c r="E10" s="14">
        <v>3500</v>
      </c>
      <c r="J10" s="15" t="s">
        <v>19</v>
      </c>
      <c r="K10" s="18">
        <v>3500</v>
      </c>
      <c r="P10" t="s">
        <v>20</v>
      </c>
    </row>
    <row r="11" spans="1:16" x14ac:dyDescent="0.35">
      <c r="A11" s="11">
        <v>45295</v>
      </c>
      <c r="B11" s="12" t="s">
        <v>17</v>
      </c>
      <c r="C11" s="12" t="s">
        <v>18</v>
      </c>
      <c r="D11" s="12" t="s">
        <v>12</v>
      </c>
      <c r="E11" s="12">
        <v>3000</v>
      </c>
      <c r="J11" s="15" t="s">
        <v>21</v>
      </c>
      <c r="K11" s="18">
        <v>1800</v>
      </c>
      <c r="P11" s="18">
        <v>14</v>
      </c>
    </row>
    <row r="12" spans="1:16" x14ac:dyDescent="0.35">
      <c r="A12" s="13">
        <v>45303</v>
      </c>
      <c r="B12" s="14" t="s">
        <v>19</v>
      </c>
      <c r="C12" s="14" t="s">
        <v>18</v>
      </c>
      <c r="D12" s="14" t="s">
        <v>12</v>
      </c>
      <c r="E12" s="14">
        <v>2000</v>
      </c>
      <c r="J12" s="15" t="s">
        <v>14</v>
      </c>
      <c r="K12" s="18">
        <v>263800</v>
      </c>
      <c r="N12">
        <f>GETPIVOTDATA("Sales",$P$10)</f>
        <v>14</v>
      </c>
    </row>
    <row r="13" spans="1:16" x14ac:dyDescent="0.35">
      <c r="A13" s="11">
        <v>45296</v>
      </c>
      <c r="B13" s="12" t="s">
        <v>19</v>
      </c>
      <c r="C13" s="12" t="s">
        <v>18</v>
      </c>
      <c r="D13" s="12" t="s">
        <v>8</v>
      </c>
      <c r="E13" s="12">
        <v>1500</v>
      </c>
    </row>
    <row r="14" spans="1:16" x14ac:dyDescent="0.35">
      <c r="A14" s="13">
        <v>45305</v>
      </c>
      <c r="B14" s="14" t="s">
        <v>21</v>
      </c>
      <c r="C14" s="14" t="s">
        <v>16</v>
      </c>
      <c r="D14" s="14" t="s">
        <v>7</v>
      </c>
      <c r="E14" s="14">
        <v>1000</v>
      </c>
      <c r="G14" s="17" t="s">
        <v>9</v>
      </c>
      <c r="H14" t="s">
        <v>10</v>
      </c>
    </row>
    <row r="15" spans="1:16" x14ac:dyDescent="0.35">
      <c r="A15" s="11">
        <v>45298</v>
      </c>
      <c r="B15" s="12" t="s">
        <v>21</v>
      </c>
      <c r="C15" s="12" t="s">
        <v>16</v>
      </c>
      <c r="D15" s="12" t="s">
        <v>12</v>
      </c>
      <c r="E15" s="12">
        <v>800</v>
      </c>
      <c r="G15" s="16">
        <v>45299</v>
      </c>
      <c r="H15" s="18">
        <v>60000</v>
      </c>
      <c r="O15" t="s">
        <v>22</v>
      </c>
    </row>
    <row r="16" spans="1:16" x14ac:dyDescent="0.35">
      <c r="G16" s="16">
        <v>45292</v>
      </c>
      <c r="H16" s="18">
        <v>50000</v>
      </c>
      <c r="K16" s="17" t="s">
        <v>9</v>
      </c>
      <c r="L16" t="s">
        <v>10</v>
      </c>
      <c r="M16">
        <f>GETPIVOTDATA("Sales",$O$15)</f>
        <v>18842.857142857141</v>
      </c>
      <c r="O16" s="20">
        <v>18842.857142857141</v>
      </c>
    </row>
    <row r="17" spans="7:12" x14ac:dyDescent="0.35">
      <c r="G17" s="16">
        <v>45301</v>
      </c>
      <c r="H17" s="18">
        <v>45000</v>
      </c>
      <c r="K17" s="15" t="s">
        <v>5</v>
      </c>
      <c r="L17" s="18">
        <v>110000</v>
      </c>
    </row>
    <row r="18" spans="7:12" x14ac:dyDescent="0.35">
      <c r="G18" s="16">
        <v>45294</v>
      </c>
      <c r="H18" s="18">
        <v>40000</v>
      </c>
      <c r="K18" s="15" t="s">
        <v>11</v>
      </c>
      <c r="L18" s="18">
        <v>85000</v>
      </c>
    </row>
    <row r="19" spans="7:12" x14ac:dyDescent="0.35">
      <c r="G19" s="16">
        <v>45300</v>
      </c>
      <c r="H19" s="18">
        <v>25000</v>
      </c>
      <c r="K19" s="15" t="s">
        <v>13</v>
      </c>
      <c r="L19" s="18">
        <v>45000</v>
      </c>
    </row>
    <row r="20" spans="7:12" x14ac:dyDescent="0.35">
      <c r="G20" s="16">
        <v>45293</v>
      </c>
      <c r="H20" s="18">
        <v>20000</v>
      </c>
      <c r="K20" s="15" t="s">
        <v>15</v>
      </c>
      <c r="L20" s="18">
        <v>12000</v>
      </c>
    </row>
    <row r="21" spans="7:12" x14ac:dyDescent="0.35">
      <c r="G21" s="16">
        <v>45304</v>
      </c>
      <c r="H21" s="18">
        <v>7000</v>
      </c>
      <c r="K21" s="15" t="s">
        <v>17</v>
      </c>
      <c r="L21" s="18">
        <v>6500</v>
      </c>
    </row>
    <row r="22" spans="7:12" x14ac:dyDescent="0.35">
      <c r="G22" s="16">
        <v>45297</v>
      </c>
      <c r="H22" s="18">
        <v>5000</v>
      </c>
      <c r="K22" s="15" t="s">
        <v>19</v>
      </c>
      <c r="L22" s="18">
        <v>3500</v>
      </c>
    </row>
    <row r="23" spans="7:12" x14ac:dyDescent="0.35">
      <c r="G23" s="16">
        <v>45302</v>
      </c>
      <c r="H23" s="18">
        <v>3500</v>
      </c>
      <c r="K23" s="15" t="s">
        <v>21</v>
      </c>
      <c r="L23" s="18">
        <v>1800</v>
      </c>
    </row>
    <row r="24" spans="7:12" x14ac:dyDescent="0.35">
      <c r="G24" s="16">
        <v>45295</v>
      </c>
      <c r="H24" s="18">
        <v>3000</v>
      </c>
      <c r="K24" s="15" t="s">
        <v>14</v>
      </c>
      <c r="L24" s="18">
        <v>263800</v>
      </c>
    </row>
    <row r="25" spans="7:12" x14ac:dyDescent="0.35">
      <c r="G25" s="16">
        <v>45303</v>
      </c>
      <c r="H25" s="18">
        <v>2000</v>
      </c>
    </row>
    <row r="26" spans="7:12" x14ac:dyDescent="0.35">
      <c r="G26" s="16">
        <v>45296</v>
      </c>
      <c r="H26" s="18">
        <v>1500</v>
      </c>
    </row>
    <row r="27" spans="7:12" x14ac:dyDescent="0.35">
      <c r="G27" s="16">
        <v>45305</v>
      </c>
      <c r="H27" s="18">
        <v>1000</v>
      </c>
    </row>
    <row r="28" spans="7:12" x14ac:dyDescent="0.35">
      <c r="G28" s="16">
        <v>45298</v>
      </c>
      <c r="H28" s="18">
        <v>800</v>
      </c>
    </row>
    <row r="29" spans="7:12" x14ac:dyDescent="0.35">
      <c r="G29" s="16" t="s">
        <v>14</v>
      </c>
      <c r="H29" s="18">
        <v>263800</v>
      </c>
    </row>
  </sheetData>
  <pageMargins left="0.7" right="0.7" top="0.75" bottom="0.75" header="0.3" footer="0.3"/>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A1C4B-8C48-4C96-83A3-D94835B19EF3}">
  <sheetPr>
    <pageSetUpPr fitToPage="1"/>
  </sheetPr>
  <dimension ref="A1:X72"/>
  <sheetViews>
    <sheetView showGridLines="0" tabSelected="1" zoomScale="40" zoomScaleNormal="40" workbookViewId="0">
      <selection activeCell="AS66" sqref="AS66"/>
    </sheetView>
  </sheetViews>
  <sheetFormatPr defaultRowHeight="14.5" x14ac:dyDescent="0.35"/>
  <cols>
    <col min="1" max="1" width="10.54296875" style="1" bestFit="1" customWidth="1"/>
    <col min="2" max="2" width="10.6328125" style="1" bestFit="1" customWidth="1"/>
    <col min="3" max="3" width="11.54296875" style="1" bestFit="1" customWidth="1"/>
    <col min="4" max="4" width="9.7265625" style="1" customWidth="1"/>
    <col min="5" max="5" width="8.1796875" style="1" bestFit="1" customWidth="1"/>
    <col min="6" max="7" width="8.7265625" style="1"/>
    <col min="8" max="8" width="12.36328125" style="1" bestFit="1" customWidth="1"/>
    <col min="9" max="9" width="11.26953125" style="1" bestFit="1" customWidth="1"/>
    <col min="10" max="10" width="8.7265625" style="1"/>
    <col min="11" max="11" width="13.36328125" style="1" bestFit="1" customWidth="1"/>
    <col min="12" max="12" width="11.90625" style="1" bestFit="1" customWidth="1"/>
    <col min="13" max="13" width="8.7265625" style="1"/>
    <col min="14" max="14" width="10.81640625" style="1" bestFit="1" customWidth="1"/>
    <col min="15" max="15" width="13.08984375" style="1" bestFit="1" customWidth="1"/>
    <col min="16" max="16" width="11.26953125" style="1" bestFit="1" customWidth="1"/>
    <col min="17" max="21" width="8.7265625" style="1"/>
    <col min="22" max="22" width="9.26953125" style="1" customWidth="1"/>
    <col min="23" max="16384" width="8.7265625" style="1"/>
  </cols>
  <sheetData>
    <row r="1" spans="1:16" ht="46" x14ac:dyDescent="1">
      <c r="F1" s="2"/>
      <c r="G1" s="2"/>
      <c r="H1" s="2"/>
      <c r="I1" s="2"/>
      <c r="J1" s="2"/>
      <c r="K1" s="2"/>
      <c r="L1" s="2"/>
      <c r="M1" s="2"/>
      <c r="N1" s="2"/>
      <c r="O1" s="3"/>
      <c r="P1" s="4"/>
    </row>
    <row r="2" spans="1:16" x14ac:dyDescent="0.35">
      <c r="F2" s="2"/>
      <c r="G2" s="2"/>
      <c r="H2" s="2"/>
      <c r="I2" s="2"/>
      <c r="J2" s="2"/>
      <c r="K2" s="2"/>
      <c r="L2" s="2"/>
      <c r="M2" s="2"/>
      <c r="N2" s="2"/>
    </row>
    <row r="5" spans="1:16" x14ac:dyDescent="0.35">
      <c r="A5" s="5"/>
    </row>
    <row r="6" spans="1:16" x14ac:dyDescent="0.35">
      <c r="A6" s="5"/>
      <c r="I6" s="6"/>
    </row>
    <row r="7" spans="1:16" x14ac:dyDescent="0.35">
      <c r="A7" s="5"/>
    </row>
    <row r="8" spans="1:16" x14ac:dyDescent="0.35">
      <c r="A8" s="5"/>
    </row>
    <row r="9" spans="1:16" x14ac:dyDescent="0.35">
      <c r="A9" s="5"/>
      <c r="N9" s="6"/>
    </row>
    <row r="10" spans="1:16" x14ac:dyDescent="0.35">
      <c r="A10" s="5"/>
    </row>
    <row r="11" spans="1:16" x14ac:dyDescent="0.35">
      <c r="A11" s="5"/>
    </row>
    <row r="12" spans="1:16" x14ac:dyDescent="0.35">
      <c r="A12" s="5"/>
    </row>
    <row r="13" spans="1:16" x14ac:dyDescent="0.35">
      <c r="A13" s="5"/>
    </row>
    <row r="14" spans="1:16" x14ac:dyDescent="0.35">
      <c r="A14" s="5"/>
    </row>
    <row r="15" spans="1:16" x14ac:dyDescent="0.35">
      <c r="A15" s="5"/>
    </row>
    <row r="16" spans="1:16" x14ac:dyDescent="0.35">
      <c r="A16" s="5"/>
    </row>
    <row r="17" spans="1:24" x14ac:dyDescent="0.35">
      <c r="A17" s="5"/>
    </row>
    <row r="18" spans="1:24" ht="15.5" customHeight="1" x14ac:dyDescent="0.35">
      <c r="A18" s="5"/>
    </row>
    <row r="23" spans="1:24" x14ac:dyDescent="0.35">
      <c r="X23" s="6"/>
    </row>
    <row r="24" spans="1:24" x14ac:dyDescent="0.35">
      <c r="X24" s="6"/>
    </row>
    <row r="26" spans="1:24" ht="33.5" x14ac:dyDescent="0.75">
      <c r="E26" s="7"/>
    </row>
    <row r="27" spans="1:24" ht="33.5" x14ac:dyDescent="0.75">
      <c r="E27" s="7"/>
    </row>
    <row r="72" spans="14:18" x14ac:dyDescent="0.35">
      <c r="N72" s="21">
        <f>GETPIVOTDATA("Sales",'RAW DATA'!$O$5)</f>
        <v>263800</v>
      </c>
      <c r="P72" s="1">
        <f>GETPIVOTDATA("Sales",'RAW DATA'!$P$10)</f>
        <v>14</v>
      </c>
      <c r="R72" s="21">
        <f>GETPIVOTDATA("Sales",'RAW DATA'!$O$15)</f>
        <v>18842.857142857141</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PROJECT 1</vt:lpstr>
      <vt:lpstr>RAW DATA</vt:lpstr>
      <vt:lpstr>Project 1 sales dashboard (2)</vt:lpstr>
      <vt:lpstr>'Project 1 sales dashboard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nagamrutha meesala</dc:creator>
  <cp:lastModifiedBy>nagamrutha meesala</cp:lastModifiedBy>
  <dcterms:created xsi:type="dcterms:W3CDTF">2026-06-16T06:03:09Z</dcterms:created>
  <dcterms:modified xsi:type="dcterms:W3CDTF">2026-06-16T07:28:06Z</dcterms:modified>
</cp:coreProperties>
</file>